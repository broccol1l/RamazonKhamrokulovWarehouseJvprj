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am.sharepoint.com/sites/GAPBSprogramdevelopment-FundamentalsofProgramming/Shared Documents/Fundamentals of Programming/Materials/Course Update 2024-2025/Final Project/Version2/"/>
    </mc:Choice>
  </mc:AlternateContent>
  <xr:revisionPtr revIDLastSave="0" documentId="8_{36870A0C-3A3B-49A5-B355-0DE22386391F}" xr6:coauthVersionLast="47" xr6:coauthVersionMax="47" xr10:uidLastSave="{00000000-0000-0000-0000-000000000000}"/>
  <bookViews>
    <workbookView xWindow="5880" yWindow="900" windowWidth="26800" windowHeight="17200" xr2:uid="{00000000-000D-0000-FFFF-FFFF00000000}"/>
  </bookViews>
  <sheets>
    <sheet name="Student Na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C21" i="1"/>
  <c r="D41" i="1"/>
  <c r="D31" i="1"/>
  <c r="D21" i="1"/>
  <c r="D10" i="1" s="1"/>
  <c r="C47" i="1"/>
  <c r="D8" i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Violation of any mandatory requirement means 
that the project is not accepted and is assessed with 0 points!</t>
        </r>
      </text>
    </comment>
  </commentList>
</comments>
</file>

<file path=xl/sharedStrings.xml><?xml version="1.0" encoding="utf-8"?>
<sst xmlns="http://schemas.openxmlformats.org/spreadsheetml/2006/main" count="57" uniqueCount="43">
  <si>
    <t>Student:</t>
  </si>
  <si>
    <t>Ramazon Khamrokulov</t>
  </si>
  <si>
    <t>Mandatory requirements</t>
  </si>
  <si>
    <t>yes/no</t>
  </si>
  <si>
    <t>Layered Architecture is used</t>
  </si>
  <si>
    <t>yes</t>
  </si>
  <si>
    <t>The Java project is compiled and launched</t>
  </si>
  <si>
    <t>There is no side framework (like Spring)</t>
  </si>
  <si>
    <t>There is unit testing</t>
  </si>
  <si>
    <t>is_OK =</t>
  </si>
  <si>
    <t>result = sum(Base score) + sum(Bonuses) + sum(Checkpoints) - sum(Penalties)</t>
  </si>
  <si>
    <t>Score for the final project = is_OK != "yes" ? 0 : (result &gt; 400 ? 400 : result)</t>
  </si>
  <si>
    <t xml:space="preserve">Base score: </t>
  </si>
  <si>
    <t>Section</t>
  </si>
  <si>
    <t>Max points</t>
  </si>
  <si>
    <t>Points</t>
  </si>
  <si>
    <t>Entity Design</t>
  </si>
  <si>
    <t>DAO Layer</t>
  </si>
  <si>
    <t>Service Layer</t>
  </si>
  <si>
    <t>Controller Layer</t>
  </si>
  <si>
    <t>View Layer</t>
  </si>
  <si>
    <t>Startup Layer</t>
  </si>
  <si>
    <t>Unit Testing</t>
  </si>
  <si>
    <t>Sum</t>
  </si>
  <si>
    <t xml:space="preserve">Penalties: </t>
  </si>
  <si>
    <t>No presentation 1-to-1 with the instructor</t>
  </si>
  <si>
    <t>Breaking low coupling for communication between layers</t>
  </si>
  <si>
    <t>Copy-paste code</t>
  </si>
  <si>
    <t>The same source for tests as for the main part</t>
  </si>
  <si>
    <t>Breaking naming conventions</t>
  </si>
  <si>
    <t>Ignoring exceptions</t>
  </si>
  <si>
    <t>Errors during the presentation</t>
  </si>
  <si>
    <t xml:space="preserve">Bonuses: </t>
  </si>
  <si>
    <t>Ideas worth implementing (each up to 20 points)</t>
  </si>
  <si>
    <t>1. Advanced Search Architecture ):
Implemented a flexible Parameter&lt;P&gt; interface strategy instead of a hardcoded Map. This allows full encapsulation of search logic (e.g., PriceParameter, AuthorParameter) and complies with OCP (Open-Closed Principle).</t>
  </si>
  <si>
    <t>2. Generic Range Search Support:
Developed a generic Range&lt;T&gt; record to support interval searching for ANY comparable field. It handles both Double (price=10.5;20.0) and Integer (pagecount=100;500) ranges with validation logic.</t>
  </si>
  <si>
    <t>3. Centralized AppFactory:
Implemented a manual Dependency Injection container (AppFactory) using the Singleton pattern. This manages the lifecycle of DAO, Service, and Controller layers, ensuring strict loose coupling and avoiding code duplication.</t>
  </si>
  <si>
    <t>The final commit was 7+ days before the deadline</t>
  </si>
  <si>
    <t xml:space="preserve">Checkpoints: </t>
  </si>
  <si>
    <t>Checkpoint number</t>
  </si>
  <si>
    <t>1     5%</t>
  </si>
  <si>
    <t>2   35%</t>
  </si>
  <si>
    <t>3   70%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</si>
</sst>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4" borderId="0" xfId="0" applyFill="1"/>
    <xf numFmtId="0" fontId="0" fillId="4" borderId="0" xfId="0" applyFill="1" applyAlignment="1">
      <alignment wrapText="1"/>
    </xf>
    <xf numFmtId="0" fontId="5" fillId="4" borderId="0" xfId="0" applyFont="1" applyFill="1" applyAlignment="1">
      <alignment horizontal="center"/>
    </xf>
    <xf numFmtId="0" fontId="2" fillId="4" borderId="1" xfId="0" applyFont="1" applyFill="1" applyBorder="1"/>
    <xf numFmtId="0" fontId="3" fillId="4" borderId="2" xfId="0" applyFont="1" applyFill="1" applyBorder="1"/>
    <xf numFmtId="0" fontId="3" fillId="4" borderId="4" xfId="0" applyFont="1" applyFill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4" borderId="6" xfId="0" applyFont="1" applyFill="1" applyBorder="1"/>
    <xf numFmtId="0" fontId="2" fillId="4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4" borderId="0" xfId="0" applyFont="1" applyFill="1" applyAlignment="1">
      <alignment horizontal="right"/>
    </xf>
    <xf numFmtId="0" fontId="0" fillId="4" borderId="2" xfId="0" applyFill="1" applyBorder="1" applyAlignment="1">
      <alignment wrapText="1"/>
    </xf>
    <xf numFmtId="0" fontId="2" fillId="4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0" fontId="0" fillId="4" borderId="6" xfId="0" applyFill="1" applyBorder="1" applyAlignment="1">
      <alignment wrapText="1"/>
    </xf>
    <xf numFmtId="0" fontId="3" fillId="4" borderId="7" xfId="0" applyFont="1" applyFill="1" applyBorder="1" applyAlignment="1">
      <alignment horizontal="right"/>
    </xf>
    <xf numFmtId="0" fontId="0" fillId="4" borderId="4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1" fillId="4" borderId="6" xfId="0" applyFont="1" applyFill="1" applyBorder="1"/>
    <xf numFmtId="0" fontId="1" fillId="4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3" fillId="4" borderId="7" xfId="0" applyFont="1" applyFill="1" applyBorder="1"/>
    <xf numFmtId="0" fontId="2" fillId="4" borderId="0" xfId="0" applyFont="1" applyFill="1" applyAlignment="1">
      <alignment horizontal="right"/>
    </xf>
    <xf numFmtId="0" fontId="0" fillId="4" borderId="7" xfId="0" applyFill="1" applyBorder="1"/>
    <xf numFmtId="0" fontId="3" fillId="4" borderId="1" xfId="0" applyFont="1" applyFill="1" applyBorder="1"/>
    <xf numFmtId="0" fontId="2" fillId="4" borderId="9" xfId="0" applyFont="1" applyFill="1" applyBorder="1"/>
    <xf numFmtId="0" fontId="2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1" fillId="4" borderId="1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3" borderId="8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left"/>
    </xf>
    <xf numFmtId="0" fontId="3" fillId="4" borderId="4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30" zoomScale="145" zoomScaleNormal="145" workbookViewId="0">
      <selection activeCell="J41" sqref="J41"/>
    </sheetView>
  </sheetViews>
  <sheetFormatPr defaultColWidth="8.85546875" defaultRowHeight="15"/>
  <cols>
    <col min="1" max="1" width="13.28515625" customWidth="1"/>
    <col min="2" max="2" width="50.42578125" customWidth="1"/>
    <col min="3" max="3" width="16.42578125" customWidth="1"/>
  </cols>
  <sheetData>
    <row r="1" spans="1:5">
      <c r="A1" s="12" t="s">
        <v>0</v>
      </c>
      <c r="B1" s="41" t="s">
        <v>1</v>
      </c>
      <c r="C1" s="1"/>
      <c r="D1" s="1"/>
      <c r="E1" s="1"/>
    </row>
    <row r="2" spans="1:5" ht="15.95" thickBot="1">
      <c r="A2" s="1"/>
      <c r="B2" s="1"/>
      <c r="C2" s="2"/>
      <c r="D2" s="1"/>
      <c r="E2" s="1"/>
    </row>
    <row r="3" spans="1:5">
      <c r="A3" s="1"/>
      <c r="B3" s="4" t="s">
        <v>2</v>
      </c>
      <c r="C3" s="13"/>
      <c r="D3" s="14" t="s">
        <v>3</v>
      </c>
      <c r="E3" s="1"/>
    </row>
    <row r="4" spans="1:5">
      <c r="A4" s="1"/>
      <c r="B4" s="6" t="s">
        <v>4</v>
      </c>
      <c r="C4" s="2"/>
      <c r="D4" s="15" t="s">
        <v>5</v>
      </c>
      <c r="E4" s="1"/>
    </row>
    <row r="5" spans="1:5">
      <c r="A5" s="1"/>
      <c r="B5" s="6" t="s">
        <v>6</v>
      </c>
      <c r="C5" s="2"/>
      <c r="D5" s="15" t="s">
        <v>5</v>
      </c>
      <c r="E5" s="1"/>
    </row>
    <row r="6" spans="1:5">
      <c r="A6" s="1"/>
      <c r="B6" s="6" t="s">
        <v>7</v>
      </c>
      <c r="C6" s="2"/>
      <c r="D6" s="15" t="s">
        <v>5</v>
      </c>
      <c r="E6" s="1"/>
    </row>
    <row r="7" spans="1:5">
      <c r="A7" s="1"/>
      <c r="B7" s="6" t="s">
        <v>8</v>
      </c>
      <c r="C7" s="2"/>
      <c r="D7" s="15" t="s">
        <v>5</v>
      </c>
      <c r="E7" s="1"/>
    </row>
    <row r="8" spans="1:5" ht="15.95" thickBot="1">
      <c r="A8" s="1"/>
      <c r="B8" s="16"/>
      <c r="C8" s="17" t="s">
        <v>9</v>
      </c>
      <c r="D8" s="39" t="str">
        <f>IF(COUNTIF(D4:D7,"=yes")=4,"yes","no")</f>
        <v>yes</v>
      </c>
      <c r="E8" s="1"/>
    </row>
    <row r="9" spans="1:5" ht="15.95" thickBot="1">
      <c r="A9" s="3"/>
      <c r="B9" s="3"/>
      <c r="C9" s="3"/>
      <c r="D9" s="3"/>
      <c r="E9" s="3"/>
    </row>
    <row r="10" spans="1:5">
      <c r="A10" s="3"/>
      <c r="B10" s="26" t="s">
        <v>10</v>
      </c>
      <c r="C10" s="5"/>
      <c r="D10" s="31">
        <f>D21+D41+D47-D31</f>
        <v>340</v>
      </c>
      <c r="E10" s="3"/>
    </row>
    <row r="11" spans="1:5" ht="15.95" thickBot="1">
      <c r="A11" s="1"/>
      <c r="B11" s="9" t="s">
        <v>11</v>
      </c>
      <c r="C11" s="23"/>
      <c r="D11" s="32">
        <f>IF(D8&lt;&gt;"yes",0,IF(D10&gt;=400,400,IF(D10&lt;0,0,D10)))</f>
        <v>340</v>
      </c>
      <c r="E11" s="1"/>
    </row>
    <row r="12" spans="1:5" ht="15.95" thickBot="1">
      <c r="A12" s="1"/>
      <c r="B12" s="2"/>
      <c r="C12" s="2"/>
      <c r="D12" s="1"/>
      <c r="E12" s="1"/>
    </row>
    <row r="13" spans="1:5">
      <c r="A13" s="24" t="s">
        <v>12</v>
      </c>
      <c r="B13" s="27" t="s">
        <v>13</v>
      </c>
      <c r="C13" s="28" t="s">
        <v>14</v>
      </c>
      <c r="D13" s="30" t="s">
        <v>15</v>
      </c>
      <c r="E13" s="7"/>
    </row>
    <row r="14" spans="1:5">
      <c r="A14" s="1"/>
      <c r="B14" s="6" t="s">
        <v>16</v>
      </c>
      <c r="C14" s="8">
        <v>30</v>
      </c>
      <c r="D14" s="40">
        <v>30</v>
      </c>
      <c r="E14" s="7"/>
    </row>
    <row r="15" spans="1:5">
      <c r="A15" s="1"/>
      <c r="B15" s="6" t="s">
        <v>17</v>
      </c>
      <c r="C15" s="8">
        <v>40</v>
      </c>
      <c r="D15" s="40">
        <v>40</v>
      </c>
      <c r="E15" s="7"/>
    </row>
    <row r="16" spans="1:5">
      <c r="A16" s="1"/>
      <c r="B16" s="6" t="s">
        <v>18</v>
      </c>
      <c r="C16" s="8">
        <v>20</v>
      </c>
      <c r="D16" s="40">
        <v>20</v>
      </c>
      <c r="E16" s="1"/>
    </row>
    <row r="17" spans="1:5">
      <c r="A17" s="1"/>
      <c r="B17" s="6" t="s">
        <v>19</v>
      </c>
      <c r="C17" s="8">
        <v>40</v>
      </c>
      <c r="D17" s="40">
        <v>40</v>
      </c>
      <c r="E17" s="1"/>
    </row>
    <row r="18" spans="1:5">
      <c r="A18" s="1"/>
      <c r="B18" s="6" t="s">
        <v>20</v>
      </c>
      <c r="C18" s="8">
        <v>30</v>
      </c>
      <c r="D18" s="40">
        <v>30</v>
      </c>
      <c r="E18" s="1"/>
    </row>
    <row r="19" spans="1:5">
      <c r="A19" s="1"/>
      <c r="B19" s="6" t="s">
        <v>21</v>
      </c>
      <c r="C19" s="8">
        <v>30</v>
      </c>
      <c r="D19" s="40">
        <v>30</v>
      </c>
      <c r="E19" s="1"/>
    </row>
    <row r="20" spans="1:5">
      <c r="A20" s="1"/>
      <c r="B20" s="6" t="s">
        <v>22</v>
      </c>
      <c r="C20" s="8">
        <v>50</v>
      </c>
      <c r="D20" s="40">
        <v>50</v>
      </c>
      <c r="E20" s="1"/>
    </row>
    <row r="21" spans="1:5" ht="15.95" thickBot="1">
      <c r="A21" s="1"/>
      <c r="B21" s="9" t="s">
        <v>23</v>
      </c>
      <c r="C21" s="10">
        <f>SUM(C14:C20)</f>
        <v>240</v>
      </c>
      <c r="D21" s="11">
        <f>SUM(D14:D20)</f>
        <v>240</v>
      </c>
      <c r="E21" s="1"/>
    </row>
    <row r="22" spans="1:5" ht="15.95" thickBot="1">
      <c r="A22" s="1"/>
      <c r="B22" s="25"/>
      <c r="C22" s="25"/>
      <c r="D22" s="25"/>
      <c r="E22" s="1"/>
    </row>
    <row r="23" spans="1:5">
      <c r="A23" s="24" t="s">
        <v>24</v>
      </c>
      <c r="B23" s="27" t="s">
        <v>13</v>
      </c>
      <c r="C23" s="28" t="s">
        <v>14</v>
      </c>
      <c r="D23" s="30" t="s">
        <v>15</v>
      </c>
      <c r="E23" s="1"/>
    </row>
    <row r="24" spans="1:5">
      <c r="A24" s="1"/>
      <c r="B24" s="6" t="s">
        <v>25</v>
      </c>
      <c r="C24" s="8">
        <v>200</v>
      </c>
      <c r="D24" s="40"/>
      <c r="E24" s="1"/>
    </row>
    <row r="25" spans="1:5">
      <c r="A25" s="1"/>
      <c r="B25" s="6" t="s">
        <v>26</v>
      </c>
      <c r="C25" s="8">
        <v>20</v>
      </c>
      <c r="D25" s="40"/>
      <c r="E25" s="1"/>
    </row>
    <row r="26" spans="1:5">
      <c r="A26" s="1"/>
      <c r="B26" s="6" t="s">
        <v>27</v>
      </c>
      <c r="C26" s="8">
        <v>20</v>
      </c>
      <c r="D26" s="40"/>
      <c r="E26" s="1"/>
    </row>
    <row r="27" spans="1:5">
      <c r="A27" s="1"/>
      <c r="B27" s="6" t="s">
        <v>28</v>
      </c>
      <c r="C27" s="8">
        <v>20</v>
      </c>
      <c r="D27" s="40"/>
      <c r="E27" s="1"/>
    </row>
    <row r="28" spans="1:5">
      <c r="A28" s="1"/>
      <c r="B28" s="6" t="s">
        <v>29</v>
      </c>
      <c r="C28" s="8">
        <v>20</v>
      </c>
      <c r="D28" s="40"/>
      <c r="E28" s="1"/>
    </row>
    <row r="29" spans="1:5">
      <c r="A29" s="1"/>
      <c r="B29" s="6" t="s">
        <v>30</v>
      </c>
      <c r="C29" s="8">
        <v>20</v>
      </c>
      <c r="D29" s="40"/>
      <c r="E29" s="1"/>
    </row>
    <row r="30" spans="1:5">
      <c r="A30" s="1"/>
      <c r="B30" s="6" t="s">
        <v>31</v>
      </c>
      <c r="C30" s="8">
        <v>100</v>
      </c>
      <c r="D30" s="40"/>
      <c r="E30" s="1"/>
    </row>
    <row r="31" spans="1:5" ht="15.95" thickBot="1">
      <c r="A31" s="1"/>
      <c r="B31" s="9" t="s">
        <v>23</v>
      </c>
      <c r="C31" s="10"/>
      <c r="D31" s="11">
        <f>-SUM(D24:D30)</f>
        <v>0</v>
      </c>
      <c r="E31" s="1"/>
    </row>
    <row r="32" spans="1:5" ht="15.95" thickBot="1">
      <c r="A32" s="1"/>
      <c r="B32" s="25"/>
      <c r="C32" s="25"/>
      <c r="D32" s="25"/>
      <c r="E32" s="1"/>
    </row>
    <row r="33" spans="1:5">
      <c r="A33" s="24" t="s">
        <v>32</v>
      </c>
      <c r="B33" s="27" t="s">
        <v>13</v>
      </c>
      <c r="C33" s="28" t="s">
        <v>14</v>
      </c>
      <c r="D33" s="30" t="s">
        <v>15</v>
      </c>
      <c r="E33" s="1"/>
    </row>
    <row r="34" spans="1:5">
      <c r="A34" s="1"/>
      <c r="B34" s="6" t="s">
        <v>33</v>
      </c>
      <c r="C34" s="8"/>
      <c r="D34" s="40"/>
      <c r="E34" s="1"/>
    </row>
    <row r="35" spans="1:5" ht="91.5">
      <c r="A35" s="1"/>
      <c r="B35" s="42" t="s">
        <v>34</v>
      </c>
      <c r="C35" s="8"/>
      <c r="D35" s="40">
        <v>20</v>
      </c>
      <c r="E35" s="1"/>
    </row>
    <row r="36" spans="1:5" ht="76.5">
      <c r="A36" s="1"/>
      <c r="B36" s="42" t="s">
        <v>35</v>
      </c>
      <c r="C36" s="8"/>
      <c r="D36" s="40">
        <v>20</v>
      </c>
      <c r="E36" s="1"/>
    </row>
    <row r="37" spans="1:5" ht="91.5">
      <c r="A37" s="1"/>
      <c r="B37" s="42" t="s">
        <v>36</v>
      </c>
      <c r="C37" s="8"/>
      <c r="D37" s="40">
        <v>20</v>
      </c>
      <c r="E37" s="1"/>
    </row>
    <row r="38" spans="1:5">
      <c r="A38" s="1"/>
      <c r="B38" s="6"/>
      <c r="C38" s="8"/>
      <c r="D38" s="40"/>
      <c r="E38" s="1"/>
    </row>
    <row r="39" spans="1:5">
      <c r="A39" s="1"/>
      <c r="B39" s="6"/>
      <c r="C39" s="8"/>
      <c r="D39" s="40"/>
      <c r="E39" s="1"/>
    </row>
    <row r="40" spans="1:5">
      <c r="A40" s="1"/>
      <c r="B40" s="6" t="s">
        <v>37</v>
      </c>
      <c r="C40" s="8">
        <v>40</v>
      </c>
      <c r="D40" s="40">
        <v>40</v>
      </c>
      <c r="E40" s="1"/>
    </row>
    <row r="41" spans="1:5" ht="15.95" thickBot="1">
      <c r="A41" s="1"/>
      <c r="B41" s="9" t="s">
        <v>23</v>
      </c>
      <c r="C41" s="10"/>
      <c r="D41" s="11">
        <f>SUM(D34:D40)</f>
        <v>100</v>
      </c>
      <c r="E41" s="1"/>
    </row>
    <row r="42" spans="1:5" ht="15.95" thickBot="1">
      <c r="A42" s="1"/>
      <c r="B42" s="25"/>
      <c r="C42" s="25"/>
      <c r="D42" s="25"/>
      <c r="E42" s="1"/>
    </row>
    <row r="43" spans="1:5">
      <c r="A43" s="12" t="s">
        <v>38</v>
      </c>
      <c r="B43" s="29" t="s">
        <v>39</v>
      </c>
      <c r="C43" s="28" t="s">
        <v>14</v>
      </c>
      <c r="D43" s="30" t="s">
        <v>15</v>
      </c>
      <c r="E43" s="1"/>
    </row>
    <row r="44" spans="1:5">
      <c r="A44" s="1"/>
      <c r="B44" s="18" t="s">
        <v>40</v>
      </c>
      <c r="C44" s="19">
        <v>20</v>
      </c>
      <c r="D44" s="40"/>
      <c r="E44" s="1"/>
    </row>
    <row r="45" spans="1:5">
      <c r="A45" s="1"/>
      <c r="B45" s="18" t="s">
        <v>41</v>
      </c>
      <c r="C45" s="19">
        <v>20</v>
      </c>
      <c r="D45" s="40"/>
      <c r="E45" s="1"/>
    </row>
    <row r="46" spans="1:5">
      <c r="A46" s="1"/>
      <c r="B46" s="18" t="s">
        <v>42</v>
      </c>
      <c r="C46" s="19">
        <v>20</v>
      </c>
      <c r="D46" s="40"/>
      <c r="E46" s="1"/>
    </row>
    <row r="47" spans="1:5" ht="15.95" thickBot="1">
      <c r="A47" s="1"/>
      <c r="B47" s="20" t="s">
        <v>23</v>
      </c>
      <c r="C47" s="21">
        <f>SUM(C44:C46)</f>
        <v>60</v>
      </c>
      <c r="D47" s="22">
        <f>SUM(D44:D46)</f>
        <v>0</v>
      </c>
      <c r="E47" s="1"/>
    </row>
    <row r="48" spans="1:5">
      <c r="A48" s="1"/>
      <c r="B48" s="1"/>
      <c r="C48" s="1"/>
      <c r="D48" s="1"/>
      <c r="E48" s="1"/>
    </row>
    <row r="49" spans="2:4">
      <c r="B49" s="34"/>
      <c r="C49" s="34"/>
      <c r="D49" s="35"/>
    </row>
    <row r="50" spans="2:4">
      <c r="B50" s="36"/>
      <c r="C50" s="34"/>
      <c r="D50" s="37"/>
    </row>
    <row r="51" spans="2:4">
      <c r="B51" s="38"/>
      <c r="C51" s="38"/>
    </row>
    <row r="53" spans="2:4">
      <c r="B53" s="33"/>
    </row>
  </sheetData>
  <dataValidations count="1">
    <dataValidation type="list" allowBlank="1" showInputMessage="1" showErrorMessage="1" sqref="D4:D7" xr:uid="{00000000-0002-0000-0000-000000000000}">
      <formula1>"yes, no"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7D47A685FBDD498586B8550E42E522" ma:contentTypeVersion="11" ma:contentTypeDescription="Create a new document." ma:contentTypeScope="" ma:versionID="0cb0196e21851322f0a5b2a3856b96e8">
  <xsd:schema xmlns:xsd="http://www.w3.org/2001/XMLSchema" xmlns:xs="http://www.w3.org/2001/XMLSchema" xmlns:p="http://schemas.microsoft.com/office/2006/metadata/properties" xmlns:ns2="5d81f71e-14f6-4436-b571-849360d47b06" xmlns:ns3="acdce05e-c0b7-4014-b95d-e4e834c5715d" targetNamespace="http://schemas.microsoft.com/office/2006/metadata/properties" ma:root="true" ma:fieldsID="00b3dbfb9513f4d2b2205a88e0b451ee" ns2:_="" ns3:_="">
    <xsd:import namespace="5d81f71e-14f6-4436-b571-849360d47b06"/>
    <xsd:import namespace="acdce05e-c0b7-4014-b95d-e4e834c571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1f71e-14f6-4436-b571-849360d47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67f65bf-ce47-4f44-8b00-c29a8208e0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ce05e-c0b7-4014-b95d-e4e834c5715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289c9f8-07f3-4d9c-ac5e-f3f9f861f19a}" ma:internalName="TaxCatchAll" ma:showField="CatchAllData" ma:web="acdce05e-c0b7-4014-b95d-e4e834c571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1f71e-14f6-4436-b571-849360d47b06">
      <Terms xmlns="http://schemas.microsoft.com/office/infopath/2007/PartnerControls"/>
    </lcf76f155ced4ddcb4097134ff3c332f>
    <TaxCatchAll xmlns="acdce05e-c0b7-4014-b95d-e4e834c571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2FEC33-8347-403C-BF37-AFC897315AF5}"/>
</file>

<file path=customXml/itemProps2.xml><?xml version="1.0" encoding="utf-8"?>
<ds:datastoreItem xmlns:ds="http://schemas.openxmlformats.org/officeDocument/2006/customXml" ds:itemID="{F634F647-530E-4760-AE71-32AF31541397}"/>
</file>

<file path=customXml/itemProps3.xml><?xml version="1.0" encoding="utf-8"?>
<ds:datastoreItem xmlns:ds="http://schemas.openxmlformats.org/officeDocument/2006/customXml" ds:itemID="{A0C8FE86-826A-44A3-8101-F9BBB1B44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Serhii Semenov (Contractor)</dc:creator>
  <cp:keywords/>
  <dc:description/>
  <cp:lastModifiedBy/>
  <cp:revision/>
  <dcterms:created xsi:type="dcterms:W3CDTF">2024-02-21T12:56:19Z</dcterms:created>
  <dcterms:modified xsi:type="dcterms:W3CDTF">2025-12-16T18:33:50Z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0x010100E87D47A685FBDD498586B8550E42E522</vt:lpwstr>
  </property>
  <property fmtid="{D5CDD505-2E9C-101B-9397-08002B2CF9AE}" pid="3" name="MediaServiceImageTags">
    <vt:lpwstr/>
  </property>
</Properties>
</file>